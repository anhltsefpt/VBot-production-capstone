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5c4ef08f6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Gia" sheetId="1" r:id="R072d3d56855e4ea5"/>
    <x:sheet xmlns:r="http://schemas.openxmlformats.org/officeDocument/2006/relationships" name="Sizing" sheetId="2" r:id="Rd637822b6b994a2e"/>
    <x:sheet xmlns:r="http://schemas.openxmlformats.org/officeDocument/2006/relationships" name="PriceAssumptions" sheetId="3" r:id="Re0ab1c1974dd4e26"/>
    <x:sheet xmlns:r="http://schemas.openxmlformats.org/officeDocument/2006/relationships" name="BangChung" sheetId="4" r:id="Rf4429bca5837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54D"/>
      </x:patternFill>
    </x:fill>
    <x:fill>
      <x:patternFill patternType="solid">
        <x:fgColor rgb="FFDCEBF4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935824ae34a5a" /><Relationship Type="http://schemas.openxmlformats.org/officeDocument/2006/relationships/theme" Target="/xl/theme/theme1.xml" Id="R45e242176f08436b" /><Relationship Type="http://schemas.openxmlformats.org/officeDocument/2006/relationships/sharedStrings" Target="/xl/sharedStrings.xml" Id="Ra42fac45c5974453" /><Relationship Type="http://schemas.openxmlformats.org/officeDocument/2006/relationships/worksheet" Target="/xl/worksheets/sheet1.xml" Id="R072d3d56855e4ea5" /><Relationship Type="http://schemas.openxmlformats.org/officeDocument/2006/relationships/worksheet" Target="/xl/worksheets/sheet2.xml" Id="Rd637822b6b994a2e" /><Relationship Type="http://schemas.openxmlformats.org/officeDocument/2006/relationships/worksheet" Target="/xl/worksheets/sheet3.xml" Id="Re0ab1c1974dd4e26" /><Relationship Type="http://schemas.openxmlformats.org/officeDocument/2006/relationships/worksheet" Target="/xl/worksheets/sheet4.xml" Id="Rf4429bca5837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0" hidden="0" customWidth="1"/>
    <x:col min="3" max="3" width="66" hidden="0" customWidth="1"/>
    <x:col min="4" max="4" width="25" hidden="0" customWidth="1"/>
    <x:col min="5" max="5" width="52" hidden="0" customWidth="1"/>
  </x:cols>
  <x:sheetData>
    <x:row r="1" ht="28" customHeight="1">
      <x:c r="A1" s="3" t="str">
        <x:v>Component</x:v>
      </x:c>
      <x:c r="B1" s="3" t="str">
        <x:v>Ý nghĩa</x:v>
      </x:c>
      <x:c r="C1" s="3" t="str">
        <x:v>Ghi chú</x:v>
      </x:c>
      <x:c r="D1" s="3" t="str">
        <x:v>Chi phí/tháng (USD)</x:v>
      </x:c>
      <x:c r="E1" s="3" t="str">
        <x:v>Bằng chứng</x:v>
      </x:c>
    </x:row>
    <x:row r="2">
      <x:c r="A2" s="10" t="str">
        <x:v>compute</x:v>
      </x:c>
      <x:c r="B2" s="10" t="str">
        <x:v>ECS Fargate API + Worker + Staging</x:v>
      </x:c>
      <x:c r="C2" s="10" t="str">
        <x:v>ECS Fargate API + Worker + Staging; region ap-southeast-1; planning estimate, see PriceAssumptions</x:v>
      </x:c>
      <x:c r="D2" s="14" t="n">
        <x:f>PriceAssumptions!B2</x:f>
        <x:v>170</x:v>
      </x:c>
      <x:c r="E2" s="10" t="str">
        <x:v>https://aws.amazon.com/fargate/pricing/</x:v>
      </x:c>
    </x:row>
    <x:row r="3">
      <x:c r="A3" s="10" t="str">
        <x:v>llm</x:v>
      </x:c>
      <x:c r="B3" s="10" t="str">
        <x:v>Claude Haiku 4.5 + Sonnet 4.6 tokens</x:v>
      </x:c>
      <x:c r="C3" s="10" t="str">
        <x:v>Bedrock Global inference from Singapore; token workload in Sizing; pricing tier must be verified</x:v>
      </x:c>
      <x:c r="D3" s="14" t="n">
        <x:f>Sizing!B31</x:f>
        <x:v>5783.843999999999</x:v>
      </x:c>
      <x:c r="E3" s="10" t="str">
        <x:v>https://aws.amazon.com/bedrock/pricing/</x:v>
      </x:c>
    </x:row>
    <x:row r="4">
      <x:c r="A4" s="10" t="str">
        <x:v>llm</x:v>
      </x:c>
      <x:c r="B4" s="10" t="str">
        <x:v>Image generation for level 5</x:v>
      </x:c>
      <x:c r="C4" s="10" t="str">
        <x:v>8,800 images × assumed USD 0.04 per image; SKU/region not yet verified</x:v>
      </x:c>
      <x:c r="D4" s="14" t="n">
        <x:f>Sizing!B32</x:f>
        <x:v>352</x:v>
      </x:c>
      <x:c r="E4" s="10" t="str">
        <x:v>https://aws.amazon.com/bedrock/pricing/</x:v>
      </x:c>
    </x:row>
    <x:row r="5">
      <x:c r="A5" s="10" t="str">
        <x:v>embedding</x:v>
      </x:c>
      <x:c r="B5" s="10" t="str">
        <x:v>Cohere multilingual embeddings</x:v>
      </x:c>
      <x:c r="C5" s="10" t="str">
        <x:v>Cohere multilingual embeddings; region ap-southeast-1; planning estimate, see PriceAssumptions</x:v>
      </x:c>
      <x:c r="D5" s="14" t="n">
        <x:f>PriceAssumptions!B3</x:f>
        <x:v>15</x:v>
      </x:c>
      <x:c r="E5" s="10" t="str">
        <x:v>https://aws.amazon.com/bedrock/pricing/</x:v>
      </x:c>
    </x:row>
    <x:row r="6">
      <x:c r="A6" s="10" t="str">
        <x:v>gateway</x:v>
      </x:c>
      <x:c r="B6" s="10" t="str">
        <x:v>LiteLLM SDK nằm trong FastAPI</x:v>
      </x:c>
      <x:c r="C6" s="10" t="str">
        <x:v>LiteLLM SDK nằm trong FastAPI; region ap-southeast-1; planning estimate, see PriceAssumptions</x:v>
      </x:c>
      <x:c r="D6" s="14" t="n">
        <x:f>PriceAssumptions!B4</x:f>
        <x:v>0</x:v>
      </x:c>
      <x:c r="E6" s="10" t="str">
        <x:v>https://aws.amazon.com/fargate/pricing/</x:v>
      </x:c>
    </x:row>
    <x:row r="7">
      <x:c r="A7" s="10" t="str">
        <x:v>load_balancer</x:v>
      </x:c>
      <x:c r="B7" s="10" t="str">
        <x:v>Application Load Balancer</x:v>
      </x:c>
      <x:c r="C7" s="10" t="str">
        <x:v>Application Load Balancer; region ap-southeast-1; planning estimate, see PriceAssumptions</x:v>
      </x:c>
      <x:c r="D7" s="14" t="n">
        <x:f>PriceAssumptions!B5</x:f>
        <x:v>38</x:v>
      </x:c>
      <x:c r="E7" s="10" t="str">
        <x:v>https://aws.amazon.com/elasticloadbalancing/pricing/</x:v>
      </x:c>
    </x:row>
    <x:row r="8">
      <x:c r="A8" s="10" t="str">
        <x:v>authn</x:v>
      </x:c>
      <x:c r="B8" s="10" t="str">
        <x:v>Cognito SSO 2,000 MAU × USD 0.015</x:v>
      </x:c>
      <x:c r="C8" s="10" t="str">
        <x:v>Cognito SSO 2,000 MAU × USD 0.015; region ap-southeast-1; planning estimate, see PriceAssumptions</x:v>
      </x:c>
      <x:c r="D8" s="14" t="n">
        <x:f>PriceAssumptions!B6</x:f>
        <x:v>30</x:v>
      </x:c>
      <x:c r="E8" s="10" t="str">
        <x:v>https://aws.amazon.com/cognito/pricing/</x:v>
      </x:c>
    </x:row>
    <x:row r="9">
      <x:c r="A9" s="10" t="str">
        <x:v>authz</x:v>
      </x:c>
      <x:c r="B9" s="10" t="str">
        <x:v>Policy middleware nằm trong FastAPI</x:v>
      </x:c>
      <x:c r="C9" s="10" t="str">
        <x:v>Policy middleware nằm trong FastAPI; region ap-southeast-1; planning estimate, see PriceAssumptions</x:v>
      </x:c>
      <x:c r="D9" s="14" t="n">
        <x:f>PriceAssumptions!B7</x:f>
        <x:v>0</x:v>
      </x:c>
      <x:c r="E9" s="10" t="str">
        <x:v>https://aws.amazon.com/fargate/pricing/</x:v>
      </x:c>
    </x:row>
    <x:row r="10">
      <x:c r="A10" s="10" t="str">
        <x:v>database</x:v>
      </x:c>
      <x:c r="B10" s="10" t="str">
        <x:v>RDS PostgreSQL Multi-AZ + 100 GB</x:v>
      </x:c>
      <x:c r="C10" s="10" t="str">
        <x:v>RDS PostgreSQL Multi-AZ + 100 GB; region ap-southeast-1; planning estimate, see PriceAssumptions</x:v>
      </x:c>
      <x:c r="D10" s="14" t="n">
        <x:f>PriceAssumptions!B8</x:f>
        <x:v>330</x:v>
      </x:c>
      <x:c r="E10" s="10" t="str">
        <x:v>https://aws.amazon.com/rds/postgresql/pricing/</x:v>
      </x:c>
    </x:row>
    <x:row r="11">
      <x:c r="A11" s="10" t="str">
        <x:v>vector_db</x:v>
      </x:c>
      <x:c r="B11" s="10" t="str">
        <x:v>pgvector nằm trong PostgreSQL</x:v>
      </x:c>
      <x:c r="C11" s="10" t="str">
        <x:v>pgvector nằm trong PostgreSQL; region ap-southeast-1; planning estimate, see PriceAssumptions</x:v>
      </x:c>
      <x:c r="D11" s="14" t="n">
        <x:f>PriceAssumptions!B9</x:f>
        <x:v>0</x:v>
      </x:c>
      <x:c r="E11" s="10" t="str">
        <x:v>https://aws.amazon.com/rds/postgresql/pricing/</x:v>
      </x:c>
    </x:row>
    <x:row r="12">
      <x:c r="A12" s="10" t="str">
        <x:v>object_storage</x:v>
      </x:c>
      <x:c r="B12" s="10" t="str">
        <x:v>Amazon S3 3,000 GB including audit versions</x:v>
      </x:c>
      <x:c r="C12" s="10" t="str">
        <x:v>Amazon S3 3,000 GB including audit versions; region ap-southeast-1; planning estimate, see PriceAssumptions</x:v>
      </x:c>
      <x:c r="D12" s="14" t="n">
        <x:f>PriceAssumptions!B10</x:f>
        <x:v>85</x:v>
      </x:c>
      <x:c r="E12" s="10" t="str">
        <x:v>https://aws.amazon.com/s3/pricing/</x:v>
      </x:c>
    </x:row>
    <x:row r="13">
      <x:c r="A13" s="10" t="str">
        <x:v>cache_queue</x:v>
      </x:c>
      <x:c r="B13" s="10" t="str">
        <x:v>SQS Standard 0.5–1.0M paid requests</x:v>
      </x:c>
      <x:c r="C13" s="10" t="str">
        <x:v>SQS Standard 0.5–1.0M paid requests; region ap-southeast-1; planning estimate, see PriceAssumptions</x:v>
      </x:c>
      <x:c r="D13" s="14" t="n">
        <x:f>PriceAssumptions!B11</x:f>
        <x:v>2</x:v>
      </x:c>
      <x:c r="E13" s="10" t="str">
        <x:v>https://aws.amazon.com/sqs/pricing/</x:v>
      </x:c>
    </x:row>
    <x:row r="14">
      <x:c r="A14" s="10" t="str">
        <x:v>sandbox</x:v>
      </x:c>
      <x:c r="B14" s="10" t="str">
        <x:v>Fargate Sandbox 1,628h × planning price</x:v>
      </x:c>
      <x:c r="C14" s="10" t="str">
        <x:v>Fargate Sandbox 1,628h × planning price; region ap-southeast-1; planning estimate, see PriceAssumptions</x:v>
      </x:c>
      <x:c r="D14" s="14" t="n">
        <x:f>PriceAssumptions!B12</x:f>
        <x:v>140</x:v>
      </x:c>
      <x:c r="E14" s="10" t="str">
        <x:v>https://aws.amazon.com/fargate/pricing/</x:v>
      </x:c>
    </x:row>
    <x:row r="15">
      <x:c r="A15" s="10" t="str">
        <x:v>connectors</x:v>
      </x:c>
      <x:c r="B15" s="10" t="str">
        <x:v>OAuth SaaS API traffic and egress allowance</x:v>
      </x:c>
      <x:c r="C15" s="10" t="str">
        <x:v>OAuth SaaS API traffic and egress allowance; region ap-southeast-1; planning estimate, see PriceAssumptions</x:v>
      </x:c>
      <x:c r="D15" s="14" t="n">
        <x:f>PriceAssumptions!B13</x:f>
        <x:v>35</x:v>
      </x:c>
      <x:c r="E15" s="10" t="str">
        <x:v>https://aws.amazon.com/vpc/pricing/</x:v>
      </x:c>
    </x:row>
    <x:row r="16">
      <x:c r="A16" s="10" t="str">
        <x:v>secrets_kms</x:v>
      </x:c>
      <x:c r="B16" s="10" t="str">
        <x:v>Secrets Manager + KMS</x:v>
      </x:c>
      <x:c r="C16" s="10" t="str">
        <x:v>Secrets Manager + KMS; region ap-southeast-1; planning estimate, see PriceAssumptions</x:v>
      </x:c>
      <x:c r="D16" s="14" t="n">
        <x:f>PriceAssumptions!B14</x:f>
        <x:v>35</x:v>
      </x:c>
      <x:c r="E16" s="10" t="str">
        <x:v>https://aws.amazon.com/secrets-manager/pricing/</x:v>
      </x:c>
    </x:row>
    <x:row r="17">
      <x:c r="A17" s="10" t="str">
        <x:v>backup_dr</x:v>
      </x:c>
      <x:c r="B17" s="10" t="str">
        <x:v>AWS Backup + database backup storage</x:v>
      </x:c>
      <x:c r="C17" s="10" t="str">
        <x:v>AWS Backup + database backup storage; region ap-southeast-1; planning estimate, see PriceAssumptions</x:v>
      </x:c>
      <x:c r="D17" s="14" t="n">
        <x:f>PriceAssumptions!B15</x:f>
        <x:v>65</x:v>
      </x:c>
      <x:c r="E17" s="10" t="str">
        <x:v>https://aws.amazon.com/backup/pricing/</x:v>
      </x:c>
    </x:row>
    <x:row r="18">
      <x:c r="A18" s="10" t="str">
        <x:v>monitoring</x:v>
      </x:c>
      <x:c r="B18" s="10" t="str">
        <x:v>CloudWatch logs/traces/alarms</x:v>
      </x:c>
      <x:c r="C18" s="10" t="str">
        <x:v>CloudWatch logs/traces/alarms; region ap-southeast-1; planning estimate, see PriceAssumptions</x:v>
      </x:c>
      <x:c r="D18" s="14" t="n">
        <x:f>PriceAssumptions!B16</x:f>
        <x:v>105</x:v>
      </x:c>
      <x:c r="E18" s="10" t="str">
        <x:v>https://aws.amazon.com/cloudwatch/pricing/</x:v>
      </x:c>
    </x:row>
    <x:row r="19">
      <x:c r="A19" s="10" t="str">
        <x:v>governance</x:v>
      </x:c>
      <x:c r="B19" s="10" t="str">
        <x:v>Bedrock Guardrails + DLP checks + eval</x:v>
      </x:c>
      <x:c r="C19" s="10" t="str">
        <x:v>Bedrock Guardrails + DLP checks + eval; region ap-southeast-1; planning estimate, see PriceAssumptions</x:v>
      </x:c>
      <x:c r="D19" s="14" t="n">
        <x:f>PriceAssumptions!B17</x:f>
        <x:v>180</x:v>
      </x:c>
      <x:c r="E19" s="10" t="str">
        <x:v>https://aws.amazon.com/bedrock/pricing/</x:v>
      </x:c>
    </x:row>
    <x:row r="20">
      <x:c r="A20" s="10" t="str">
        <x:v>network</x:v>
      </x:c>
      <x:c r="B20" s="10" t="str">
        <x:v>NAT + VPC endpoints + WAF + traffic</x:v>
      </x:c>
      <x:c r="C20" s="10" t="str">
        <x:v>NAT + VPC endpoints + WAF + traffic; region ap-southeast-1; planning estimate, see PriceAssumptions</x:v>
      </x:c>
      <x:c r="D20" s="14" t="n">
        <x:f>PriceAssumptions!B18</x:f>
        <x:v>220</x:v>
      </x:c>
      <x:c r="E20" s="10" t="str">
        <x:v>https://aws.amazon.com/vpc/pricing/</x:v>
      </x:c>
    </x:row>
    <x:row r="21">
      <x:c r="A21" s="10" t="str">
        <x:v>cicd</x:v>
      </x:c>
      <x:c r="B21" s="10" t="str">
        <x:v>CodePipeline + ECR + staging extras</x:v>
      </x:c>
      <x:c r="C21" s="10" t="str">
        <x:v>CodePipeline + ECR + staging extras; region ap-southeast-1; planning estimate, see PriceAssumptions</x:v>
      </x:c>
      <x:c r="D21" s="14" t="n">
        <x:f>PriceAssumptions!B19</x:f>
        <x:v>60</x:v>
      </x:c>
      <x:c r="E21" s="10" t="str">
        <x:v>https://aws.amazon.com/codepipeline/pricing/</x:v>
      </x:c>
    </x:row>
    <x:row r="22">
      <x:c r="A22" s="10" t="str">
        <x:v>ops_labor</x:v>
      </x:c>
      <x:c r="B22" s="10" t="str">
        <x:v>0.5 FTE × USD 3,000</x:v>
      </x:c>
      <x:c r="C22" s="10" t="str">
        <x:v>0.5 FTE × USD 3,000; region ap-southeast-1; planning estimate, see PriceAssumptions</x:v>
      </x:c>
      <x:c r="D22" s="14" t="n">
        <x:f>PriceAssumptions!B20</x:f>
        <x:v>1500</x:v>
      </x:c>
      <x:c r="E22" s="10" t="str">
        <x:v>NA</x:v>
      </x:c>
    </x:row>
    <x:row r="23" ht="28" customHeight="1">
      <x:c r="A23" s="11" t="str">
        <x:v>TOTAL</x:v>
      </x:c>
      <x:c r="B23" s="11" t="str">
        <x:v>Estimated monthly USD</x:v>
      </x:c>
      <x:c r="C23" s="11" t="str">
        <x:v>DRAFT: values unverified unless marked; do not submit as a confirmed AWS quote</x:v>
      </x:c>
      <x:c r="D23" s="15" t="n">
        <x:f>SUM(D2:D22)</x:f>
        <x:v>9145.844</x:v>
      </x:c>
      <x:c r="E23" s="11" t="str">
        <x:v>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9" hidden="0" customWidth="1"/>
    <x:col min="3" max="3" width="23" hidden="0" customWidth="1"/>
    <x:col min="4" max="4" width="45" hidden="0" customWidth="1"/>
    <x:col min="5" max="5" width="16" hidden="0" customWidth="1"/>
    <x:col min="6" max="6" width="16" hidden="0" customWidth="1"/>
    <x:col min="7" max="7" width="18" hidden="0" customWidth="1"/>
    <x:col min="8" max="8" width="17" hidden="0" customWidth="1"/>
    <x:col min="9" max="9" width="17" hidden="0" customWidth="1"/>
    <x:col min="10" max="10" width="20" hidden="0" customWidth="1"/>
    <x:col min="11" max="11" width="17" hidden="0" customWidth="1"/>
    <x:col min="12" max="12" width="17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3" t="str">
        <x:v>Metric</x:v>
      </x:c>
      <x:c r="B1" s="3" t="str">
        <x:v>Value</x:v>
      </x:c>
      <x:c r="C1" s="3" t="str">
        <x:v>Unit</x:v>
      </x:c>
      <x:c r="D1" s="3" t="str">
        <x:v>Source / explanation</x:v>
      </x:c>
    </x:row>
    <x:row r="2">
      <x:c r="A2" s="10" t="str">
        <x:v>DAU</x:v>
      </x:c>
      <x:c r="B2" s="10" t="n">
        <x:v>2000</x:v>
      </x:c>
      <x:c r="C2" s="10" t="str">
        <x:v>users/day</x:v>
      </x:c>
      <x:c r="D2" s="10" t="str">
        <x:v>Đề cho</x:v>
      </x:c>
    </x:row>
    <x:row r="3">
      <x:c r="A3" s="10" t="str">
        <x:v>Requests_per_user_day</x:v>
      </x:c>
      <x:c r="B3" s="10" t="n">
        <x:v>4</x:v>
      </x:c>
      <x:c r="C3" s="10" t="str">
        <x:v>requests/day</x:v>
      </x:c>
      <x:c r="D3" s="10" t="str">
        <x:v>Giả định</x:v>
      </x:c>
    </x:row>
    <x:row r="4">
      <x:c r="A4" s="10" t="str">
        <x:v>Working_days</x:v>
      </x:c>
      <x:c r="B4" s="10" t="n">
        <x:v>22</x:v>
      </x:c>
      <x:c r="C4" s="10" t="str">
        <x:v>days/month</x:v>
      </x:c>
      <x:c r="D4" s="10" t="str">
        <x:v>Đề cho</x:v>
      </x:c>
    </x:row>
    <x:row r="5">
      <x:c r="A5" s="10" t="str">
        <x:v>Requests_month</x:v>
      </x:c>
      <x:c r="B5" s="10" t="n">
        <x:f>B2*B3*B4</x:f>
        <x:v>176000</x:v>
      </x:c>
      <x:c r="C5" s="10" t="str">
        <x:v>requests</x:v>
      </x:c>
      <x:c r="D5" s="10" t="str">
        <x:v>DAU multiplied by requests/user/day and working days</x:v>
      </x:c>
    </x:row>
    <x:row r="6">
      <x:c r="A6" s="10" t="str">
        <x:v>Peak_factor</x:v>
      </x:c>
      <x:c r="B6" s="10" t="n">
        <x:v>6</x:v>
      </x:c>
      <x:c r="C6" s="10" t="str">
        <x:v>x</x:v>
      </x:c>
      <x:c r="D6" s="10" t="str">
        <x:v>Giả định tải cao điểm</x:v>
      </x:c>
    </x:row>
    <x:row r="7">
      <x:c r="A7" s="10" t="str">
        <x:v>Business_hours_day</x:v>
      </x:c>
      <x:c r="B7" s="10" t="n">
        <x:v>10</x:v>
      </x:c>
      <x:c r="C7" s="10" t="str">
        <x:v>hours</x:v>
      </x:c>
      <x:c r="D7" s="10" t="str">
        <x:v>Đề cho</x:v>
      </x:c>
    </x:row>
    <x:row r="8">
      <x:c r="A8" s="10" t="str">
        <x:v>Average_RPS</x:v>
      </x:c>
      <x:c r="B8" s="18" t="n">
        <x:f>B2*B3/(B7*3600)</x:f>
        <x:v>0.2222222222222222</x:v>
      </x:c>
      <x:c r="C8" s="10" t="str">
        <x:v>req/s</x:v>
      </x:c>
      <x:c r="D8" s="10" t="str">
        <x:v>DAU times requests/user/day divided by business seconds</x:v>
      </x:c>
    </x:row>
    <x:row r="9">
      <x:c r="A9" s="10" t="str">
        <x:v>Peak_RPS</x:v>
      </x:c>
      <x:c r="B9" s="18" t="n">
        <x:f>B8*B6</x:f>
        <x:v>1.3333333333333333</x:v>
      </x:c>
      <x:c r="C9" s="10" t="str">
        <x:v>req/s</x:v>
      </x:c>
      <x:c r="D9" s="10" t="str">
        <x:v>Average_RPS multiplied by peak factor</x:v>
      </x:c>
    </x:row>
    <x:row r="10">
      <x:c r="A10" s="10" t="str">
        <x:v>Haiku_input_price</x:v>
      </x:c>
      <x:c r="B10" s="10" t="n">
        <x:v>1.1</x:v>
      </x:c>
      <x:c r="C10" s="10" t="str">
        <x:v>USD / 1M tokens</x:v>
      </x:c>
      <x:c r="D10" s="10" t="str">
        <x:v>AWS published example; verify model tier</x:v>
      </x:c>
    </x:row>
    <x:row r="11">
      <x:c r="A11" s="10" t="str">
        <x:v>Haiku_output_price</x:v>
      </x:c>
      <x:c r="B11" s="10" t="n">
        <x:v>5.5</x:v>
      </x:c>
      <x:c r="C11" s="10" t="str">
        <x:v>USD / 1M tokens</x:v>
      </x:c>
      <x:c r="D11" s="10" t="str">
        <x:v>AWS published example; verify model tier</x:v>
      </x:c>
    </x:row>
    <x:row r="12">
      <x:c r="A12" s="10" t="str">
        <x:v>Sonnet_input_price</x:v>
      </x:c>
      <x:c r="B12" s="10" t="n">
        <x:v>3</x:v>
      </x:c>
      <x:c r="C12" s="10" t="str">
        <x:v>USD / 1M tokens</x:v>
      </x:c>
      <x:c r="D12" s="10" t="str">
        <x:v>AWS published example; verify model tier</x:v>
      </x:c>
    </x:row>
    <x:row r="13">
      <x:c r="A13" s="10" t="str">
        <x:v>Sonnet_output_price</x:v>
      </x:c>
      <x:c r="B13" s="10" t="n">
        <x:v>15</x:v>
      </x:c>
      <x:c r="C13" s="10" t="str">
        <x:v>USD / 1M tokens</x:v>
      </x:c>
      <x:c r="D13" s="10" t="str">
        <x:v>AWS published example; verify model tier</x:v>
      </x:c>
    </x:row>
    <x:row r="14">
      <x:c r="A14" s="10" t="str">
        <x:v>Image_price_assumed</x:v>
      </x:c>
      <x:c r="B14" s="10" t="n">
        <x:v>0.04</x:v>
      </x:c>
      <x:c r="C14" s="10" t="str">
        <x:v>USD/image</x:v>
      </x:c>
      <x:c r="D14" s="10" t="str">
        <x:v>PLANNING ASSUMPTION — chưa xác nhận SKU</x:v>
      </x:c>
    </x:row>
    <x:row r="15">
      <x:c r="A15" s="10" t="str">
        <x:v>Sandbox_hour_budget</x:v>
      </x:c>
      <x:c r="B15" s="10" t="n">
        <x:v>0.086</x:v>
      </x:c>
      <x:c r="C15" s="10" t="str">
        <x:v>USD per 1vCPU+2GiB hour</x:v>
      </x:c>
      <x:c r="D15" s="10" t="str">
        <x:v>PLANNING ASSUMPTION — chưa xác nhận region</x:v>
      </x:c>
    </x:row>
    <x:row r="16">
      <x:c r="A16" s="10" t="str">
        <x:v>Actual_storage_GB</x:v>
      </x:c>
      <x:c r="B16" s="10" t="n">
        <x:v>3000</x:v>
      </x:c>
      <x:c r="C16" s="10" t="str">
        <x:v>GB</x:v>
      </x:c>
      <x:c r="D16" s="10" t="str">
        <x:v>2 TB user files + 0.5 TB KB + 0.5 TB overhead</x:v>
      </x:c>
    </x:row>
    <x:row r="21" ht="30" customHeight="1">
      <x:c r="A21" s="3" t="str">
        <x:v>Level</x:v>
      </x:c>
      <x:c r="B21" s="3" t="str">
        <x:v>Mix</x:v>
      </x:c>
      <x:c r="C21" s="3" t="str">
        <x:v>Input/request</x:v>
      </x:c>
      <x:c r="D21" s="3" t="str">
        <x:v>Output/request</x:v>
      </x:c>
      <x:c r="E21" s="3" t="str">
        <x:v>Haiku share</x:v>
      </x:c>
      <x:c r="F21" s="3" t="str">
        <x:v>Calls/request</x:v>
      </x:c>
      <x:c r="G21" s="3" t="str">
        <x:v>Sandbox ratio</x:v>
      </x:c>
      <x:c r="H21" s="3" t="str">
        <x:v>Sandbox sec</x:v>
      </x:c>
      <x:c r="I21" s="3" t="str">
        <x:v>Images/request</x:v>
      </x:c>
      <x:c r="J21" s="3" t="str">
        <x:v>Requests/month</x:v>
      </x:c>
      <x:c r="K21" s="3" t="str">
        <x:v>Input M</x:v>
      </x:c>
      <x:c r="L21" s="3" t="str">
        <x:v>Output M</x:v>
      </x:c>
      <x:c r="M21" s="3" t="str">
        <x:v>LLM USD</x:v>
      </x:c>
      <x:c r="N21" s="3" t="str">
        <x:v>Sandbox h</x:v>
      </x:c>
      <x:c r="O21" s="3" t="str">
        <x:v>Images</x:v>
      </x:c>
    </x:row>
    <x:row r="22">
      <x:c r="A22" s="10" t="str">
        <x:v>L1 Email/Q&amp;A</x:v>
      </x:c>
      <x:c r="B22" s="10" t="n">
        <x:v>0.55</x:v>
      </x:c>
      <x:c r="C22" s="10" t="n">
        <x:v>1400</x:v>
      </x:c>
      <x:c r="D22" s="10" t="n">
        <x:v>350</x:v>
      </x:c>
      <x:c r="E22" s="10" t="n">
        <x:v>1</x:v>
      </x:c>
      <x:c r="F22" s="10" t="n">
        <x:v>1</x:v>
      </x:c>
      <x:c r="G22" s="10" t="n">
        <x:v>0</x:v>
      </x:c>
      <x:c r="H22" s="10" t="n">
        <x:v>0</x:v>
      </x:c>
      <x:c r="I22" s="10" t="n">
        <x:v>0</x:v>
      </x:c>
      <x:c r="J22" s="10" t="n">
        <x:f>$B$5*B22</x:f>
        <x:v>96800.00000000001</x:v>
      </x:c>
      <x:c r="K22" s="10" t="n">
        <x:f>J22*C22/1000000</x:f>
        <x:v>135.52000000000004</x:v>
      </x:c>
      <x:c r="L22" s="10" t="n">
        <x:f>J22*D22/1000000</x:f>
        <x:v>33.88000000000001</x:v>
      </x:c>
      <x:c r="M22" s="14" t="n">
        <x:f>J22*(E22*(C22*$B$10+D22*$B$11)+(1-E22)*(C22*$B$12+D22*$B$13))/1000000</x:f>
        <x:v>335.41200000000003</x:v>
      </x:c>
      <x:c r="N22" s="14" t="n">
        <x:f>J22*G22*H22/3600</x:f>
        <x:v>0</x:v>
      </x:c>
      <x:c r="O22" s="10" t="n">
        <x:f>J22*I22</x:f>
        <x:v>0</x:v>
      </x:c>
    </x:row>
    <x:row r="23">
      <x:c r="A23" s="10" t="str">
        <x:v>L2 Documents</x:v>
      </x:c>
      <x:c r="B23" s="10" t="n">
        <x:v>0.2</x:v>
      </x:c>
      <x:c r="C23" s="10" t="n">
        <x:v>7500</x:v>
      </x:c>
      <x:c r="D23" s="10" t="n">
        <x:v>2200</x:v>
      </x:c>
      <x:c r="E23" s="10" t="n">
        <x:v>0.6</x:v>
      </x:c>
      <x:c r="F23" s="10" t="n">
        <x:v>2</x:v>
      </x:c>
      <x:c r="G23" s="10" t="n">
        <x:v>0.8</x:v>
      </x:c>
      <x:c r="H23" s="10" t="n">
        <x:v>60</x:v>
      </x:c>
      <x:c r="I23" s="10" t="n">
        <x:v>0</x:v>
      </x:c>
      <x:c r="J23" s="10" t="n">
        <x:f>$B$5*B23</x:f>
        <x:v>35200</x:v>
      </x:c>
      <x:c r="K23" s="10" t="n">
        <x:f>J23*C23/1000000</x:f>
        <x:v>264</x:v>
      </x:c>
      <x:c r="L23" s="10" t="n">
        <x:f>J23*D23/1000000</x:f>
        <x:v>77.44</x:v>
      </x:c>
      <x:c r="M23" s="14" t="n">
        <x:f>J23*(E23*(C23*$B$10+D23*$B$11)+(1-E23)*(C23*$B$12+D23*$B$13))/1000000</x:f>
        <x:v>1211.232</x:v>
      </x:c>
      <x:c r="N23" s="14" t="n">
        <x:f>J23*G23*H23/3600</x:f>
        <x:v>469.3333333333333</x:v>
      </x:c>
      <x:c r="O23" s="10" t="n">
        <x:f>J23*I23</x:f>
        <x:v>0</x:v>
      </x:c>
    </x:row>
    <x:row r="24">
      <x:c r="A24" s="10" t="str">
        <x:v>L3 Data/Code</x:v>
      </x:c>
      <x:c r="B24" s="10" t="n">
        <x:v>0.1</x:v>
      </x:c>
      <x:c r="C24" s="10" t="n">
        <x:v>12500</x:v>
      </x:c>
      <x:c r="D24" s="10" t="n">
        <x:v>3200</x:v>
      </x:c>
      <x:c r="E24" s="10" t="n">
        <x:v>0</x:v>
      </x:c>
      <x:c r="F24" s="10" t="n">
        <x:v>4</x:v>
      </x:c>
      <x:c r="G24" s="10" t="n">
        <x:v>1</x:v>
      </x:c>
      <x:c r="H24" s="10" t="n">
        <x:v>180</x:v>
      </x:c>
      <x:c r="I24" s="10" t="n">
        <x:v>0</x:v>
      </x:c>
      <x:c r="J24" s="10" t="n">
        <x:f>$B$5*B24</x:f>
        <x:v>17600</x:v>
      </x:c>
      <x:c r="K24" s="10" t="n">
        <x:f>J24*C24/1000000</x:f>
        <x:v>220</x:v>
      </x:c>
      <x:c r="L24" s="10" t="n">
        <x:f>J24*D24/1000000</x:f>
        <x:v>56.32</x:v>
      </x:c>
      <x:c r="M24" s="14" t="n">
        <x:f>J24*(E24*(C24*$B$10+D24*$B$11)+(1-E24)*(C24*$B$12+D24*$B$13))/1000000</x:f>
        <x:v>1504.8</x:v>
      </x:c>
      <x:c r="N24" s="14" t="n">
        <x:f>J24*G24*H24/3600</x:f>
        <x:v>880</x:v>
      </x:c>
      <x:c r="O24" s="10" t="n">
        <x:f>J24*I24</x:f>
        <x:v>0</x:v>
      </x:c>
    </x:row>
    <x:row r="25">
      <x:c r="A25" s="10" t="str">
        <x:v>L4 Project Agent</x:v>
      </x:c>
      <x:c r="B25" s="10" t="n">
        <x:v>0.1</x:v>
      </x:c>
      <x:c r="C25" s="10" t="n">
        <x:v>20000</x:v>
      </x:c>
      <x:c r="D25" s="10" t="n">
        <x:v>5000</x:v>
      </x:c>
      <x:c r="E25" s="10" t="n">
        <x:v>0</x:v>
      </x:c>
      <x:c r="F25" s="10" t="n">
        <x:v>6</x:v>
      </x:c>
      <x:c r="G25" s="10" t="n">
        <x:v>0.3</x:v>
      </x:c>
      <x:c r="H25" s="10" t="n">
        <x:v>90</x:v>
      </x:c>
      <x:c r="I25" s="10" t="n">
        <x:v>0</x:v>
      </x:c>
      <x:c r="J25" s="10" t="n">
        <x:f>$B$5*B25</x:f>
        <x:v>17600</x:v>
      </x:c>
      <x:c r="K25" s="10" t="n">
        <x:f>J25*C25/1000000</x:f>
        <x:v>352</x:v>
      </x:c>
      <x:c r="L25" s="10" t="n">
        <x:f>J25*D25/1000000</x:f>
        <x:v>88</x:v>
      </x:c>
      <x:c r="M25" s="14" t="n">
        <x:f>J25*(E25*(C25*$B$10+D25*$B$11)+(1-E25)*(C25*$B$12+D25*$B$13))/1000000</x:f>
        <x:v>2376</x:v>
      </x:c>
      <x:c r="N25" s="14" t="n">
        <x:f>J25*G25*H25/3600</x:f>
        <x:v>132</x:v>
      </x:c>
      <x:c r="O25" s="10" t="n">
        <x:f>J25*I25</x:f>
        <x:v>0</x:v>
      </x:c>
    </x:row>
    <x:row r="26">
      <x:c r="A26" s="10" t="str">
        <x:v>L5 Design</x:v>
      </x:c>
      <x:c r="B26" s="10" t="n">
        <x:v>0.05</x:v>
      </x:c>
      <x:c r="C26" s="10" t="n">
        <x:v>6000</x:v>
      </x:c>
      <x:c r="D26" s="10" t="n">
        <x:v>1500</x:v>
      </x:c>
      <x:c r="E26" s="10" t="n">
        <x:v>0</x:v>
      </x:c>
      <x:c r="F26" s="10" t="n">
        <x:v>3</x:v>
      </x:c>
      <x:c r="G26" s="10" t="n">
        <x:v>0.5</x:v>
      </x:c>
      <x:c r="H26" s="10" t="n">
        <x:v>120</x:v>
      </x:c>
      <x:c r="I26" s="10" t="n">
        <x:v>1</x:v>
      </x:c>
      <x:c r="J26" s="10" t="n">
        <x:f>$B$5*B26</x:f>
        <x:v>8800</x:v>
      </x:c>
      <x:c r="K26" s="10" t="n">
        <x:f>J26*C26/1000000</x:f>
        <x:v>52.8</x:v>
      </x:c>
      <x:c r="L26" s="10" t="n">
        <x:f>J26*D26/1000000</x:f>
        <x:v>13.2</x:v>
      </x:c>
      <x:c r="M26" s="14" t="n">
        <x:f>J26*(E26*(C26*$B$10+D26*$B$11)+(1-E26)*(C26*$B$12+D26*$B$13))/1000000</x:f>
        <x:v>356.4</x:v>
      </x:c>
      <x:c r="N26" s="14" t="n">
        <x:f>J26*G26*H26/3600</x:f>
        <x:v>146.66666666666666</x:v>
      </x:c>
      <x:c r="O26" s="10" t="n">
        <x:f>J26*I26</x:f>
        <x:v>8800</x:v>
      </x:c>
    </x:row>
    <x:row r="27">
      <x:c r="A27" s="11" t="str">
        <x:v>TOTAL</x:v>
      </x:c>
      <x:c r="B27" s="11"/>
      <x:c r="C27" s="11"/>
      <x:c r="D27" s="11"/>
      <x:c r="E27" s="11"/>
      <x:c r="F27" s="11"/>
      <x:c r="G27" s="11"/>
      <x:c r="H27" s="11"/>
      <x:c r="I27" s="11"/>
      <x:c r="J27" s="11" t="n">
        <x:f>SUM(J22:J26)</x:f>
        <x:v>176000</x:v>
      </x:c>
      <x:c r="K27" s="11" t="n">
        <x:f>SUM(K22:K26)</x:f>
        <x:v>1024.32</x:v>
      </x:c>
      <x:c r="L27" s="11" t="n">
        <x:f>SUM(L22:L26)</x:f>
        <x:v>268.84000000000003</x:v>
      </x:c>
      <x:c r="M27" s="15" t="n">
        <x:f>SUM(M22:M26)</x:f>
        <x:v>5783.843999999999</x:v>
      </x:c>
      <x:c r="N27" s="15" t="n">
        <x:f>SUM(N22:N26)</x:f>
        <x:v>1628</x:v>
      </x:c>
      <x:c r="O27" s="11" t="n">
        <x:f>SUM(O22:O26)</x:f>
        <x:v>8800</x:v>
      </x:c>
    </x:row>
    <x:row r="30">
      <x:c r="A30" t="str">
        <x:v>Cost drivers</x:v>
      </x:c>
      <x:c r="B30" t="str">
        <x:v>Result</x:v>
      </x:c>
      <x:c r="C30" t="str">
        <x:v>Unit</x:v>
      </x:c>
      <x:c r="D30" t="str">
        <x:v>Explanation</x:v>
      </x:c>
    </x:row>
    <x:row r="31">
      <x:c r="A31" t="str">
        <x:v>LLM cost</x:v>
      </x:c>
      <x:c r="B31" s="20" t="n">
        <x:f>M27</x:f>
        <x:v>5783.843999999999</x:v>
      </x:c>
      <x:c r="C31" t="str">
        <x:v>USD/month</x:v>
      </x:c>
      <x:c r="D31" t="str">
        <x:v>Token cost only, excludes image</x:v>
      </x:c>
    </x:row>
    <x:row r="32">
      <x:c r="A32" t="str">
        <x:v>Image generation</x:v>
      </x:c>
      <x:c r="B32" s="20" t="n">
        <x:f>O27*B14</x:f>
        <x:v>352</x:v>
      </x:c>
      <x:c r="C32" t="str">
        <x:v>USD/month</x:v>
      </x:c>
      <x:c r="D32" t="str">
        <x:v>Assumed unit price, verify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5" hidden="0" customWidth="1"/>
    <x:col min="4" max="4" width="53" hidden="0" customWidth="1"/>
    <x:col min="5" max="5" width="29" hidden="0" customWidth="1"/>
  </x:cols>
  <x:sheetData>
    <x:row r="1" ht="28" customHeight="1">
      <x:c r="A1" s="3" t="str">
        <x:v>Component</x:v>
      </x:c>
      <x:c r="B1" s="3" t="str">
        <x:v>Planning USD/mo</x:v>
      </x:c>
      <x:c r="C1" s="3" t="str">
        <x:v>Scope / unit assumptions</x:v>
      </x:c>
      <x:c r="D1" s="3" t="str">
        <x:v>Evidence URL</x:v>
      </x:c>
      <x:c r="E1" s="3" t="str">
        <x:v>Price status</x:v>
      </x:c>
    </x:row>
    <x:row r="2">
      <x:c r="A2" s="10" t="str">
        <x:v>compute</x:v>
      </x:c>
      <x:c r="B2" s="14" t="n">
        <x:v>170</x:v>
      </x:c>
      <x:c r="C2" s="10" t="str">
        <x:v>ECS Fargate API + Worker + Staging</x:v>
      </x:c>
      <x:c r="D2" s="10" t="str">
        <x:v>https://aws.amazon.com/fargate/pricing/</x:v>
      </x:c>
      <x:c r="E2" s="10" t="str">
        <x:v>UNVERIFIED region/SKU</x:v>
      </x:c>
    </x:row>
    <x:row r="3">
      <x:c r="A3" s="10" t="str">
        <x:v>embedding</x:v>
      </x:c>
      <x:c r="B3" s="14" t="n">
        <x:v>15</x:v>
      </x:c>
      <x:c r="C3" s="10" t="str">
        <x:v>Cohere multilingual embeddings</x:v>
      </x:c>
      <x:c r="D3" s="10" t="str">
        <x:v>https://aws.amazon.com/bedrock/pricing/</x:v>
      </x:c>
      <x:c r="E3" s="10" t="str">
        <x:v>UNVERIFIED region/SKU</x:v>
      </x:c>
    </x:row>
    <x:row r="4">
      <x:c r="A4" s="10" t="str">
        <x:v>gateway</x:v>
      </x:c>
      <x:c r="B4" s="14" t="n">
        <x:v>0</x:v>
      </x:c>
      <x:c r="C4" s="10" t="str">
        <x:v>LiteLLM SDK nằm trong FastAPI</x:v>
      </x:c>
      <x:c r="D4" s="10" t="str">
        <x:v>https://aws.amazon.com/fargate/pricing/</x:v>
      </x:c>
      <x:c r="E4" s="10" t="str">
        <x:v>Verified formula / bundled / labor</x:v>
      </x:c>
    </x:row>
    <x:row r="5">
      <x:c r="A5" s="10" t="str">
        <x:v>load_balancer</x:v>
      </x:c>
      <x:c r="B5" s="14" t="n">
        <x:v>38</x:v>
      </x:c>
      <x:c r="C5" s="10" t="str">
        <x:v>Application Load Balancer</x:v>
      </x:c>
      <x:c r="D5" s="10" t="str">
        <x:v>https://aws.amazon.com/elasticloadbalancing/pricing/</x:v>
      </x:c>
      <x:c r="E5" s="10" t="str">
        <x:v>UNVERIFIED region/SKU</x:v>
      </x:c>
    </x:row>
    <x:row r="6">
      <x:c r="A6" s="10" t="str">
        <x:v>authn</x:v>
      </x:c>
      <x:c r="B6" s="14" t="n">
        <x:v>30</x:v>
      </x:c>
      <x:c r="C6" s="10" t="str">
        <x:v>Cognito SSO 2,000 MAU × USD 0.015</x:v>
      </x:c>
      <x:c r="D6" s="10" t="str">
        <x:v>https://aws.amazon.com/cognito/pricing/</x:v>
      </x:c>
      <x:c r="E6" s="10" t="str">
        <x:v>Verified formula / bundled / labor</x:v>
      </x:c>
    </x:row>
    <x:row r="7">
      <x:c r="A7" s="10" t="str">
        <x:v>authz</x:v>
      </x:c>
      <x:c r="B7" s="14" t="n">
        <x:v>0</x:v>
      </x:c>
      <x:c r="C7" s="10" t="str">
        <x:v>Policy middleware nằm trong FastAPI</x:v>
      </x:c>
      <x:c r="D7" s="10" t="str">
        <x:v>https://aws.amazon.com/fargate/pricing/</x:v>
      </x:c>
      <x:c r="E7" s="10" t="str">
        <x:v>Verified formula / bundled / labor</x:v>
      </x:c>
    </x:row>
    <x:row r="8">
      <x:c r="A8" s="10" t="str">
        <x:v>database</x:v>
      </x:c>
      <x:c r="B8" s="14" t="n">
        <x:v>330</x:v>
      </x:c>
      <x:c r="C8" s="10" t="str">
        <x:v>RDS PostgreSQL Multi-AZ + 100 GB</x:v>
      </x:c>
      <x:c r="D8" s="10" t="str">
        <x:v>https://aws.amazon.com/rds/postgresql/pricing/</x:v>
      </x:c>
      <x:c r="E8" s="10" t="str">
        <x:v>UNVERIFIED region/SKU</x:v>
      </x:c>
    </x:row>
    <x:row r="9">
      <x:c r="A9" s="10" t="str">
        <x:v>vector_db</x:v>
      </x:c>
      <x:c r="B9" s="14" t="n">
        <x:v>0</x:v>
      </x:c>
      <x:c r="C9" s="10" t="str">
        <x:v>pgvector nằm trong PostgreSQL</x:v>
      </x:c>
      <x:c r="D9" s="10" t="str">
        <x:v>https://aws.amazon.com/rds/postgresql/pricing/</x:v>
      </x:c>
      <x:c r="E9" s="10" t="str">
        <x:v>Verified formula / bundled / labor</x:v>
      </x:c>
    </x:row>
    <x:row r="10">
      <x:c r="A10" s="10" t="str">
        <x:v>object_storage</x:v>
      </x:c>
      <x:c r="B10" s="14" t="n">
        <x:v>85</x:v>
      </x:c>
      <x:c r="C10" s="10" t="str">
        <x:v>Amazon S3 3,000 GB including audit versions</x:v>
      </x:c>
      <x:c r="D10" s="10" t="str">
        <x:v>https://aws.amazon.com/s3/pricing/</x:v>
      </x:c>
      <x:c r="E10" s="10" t="str">
        <x:v>UNVERIFIED region/SKU</x:v>
      </x:c>
    </x:row>
    <x:row r="11">
      <x:c r="A11" s="10" t="str">
        <x:v>cache_queue</x:v>
      </x:c>
      <x:c r="B11" s="14" t="n">
        <x:v>2</x:v>
      </x:c>
      <x:c r="C11" s="10" t="str">
        <x:v>SQS Standard 0.5–1.0M paid requests</x:v>
      </x:c>
      <x:c r="D11" s="10" t="str">
        <x:v>https://aws.amazon.com/sqs/pricing/</x:v>
      </x:c>
      <x:c r="E11" s="10" t="str">
        <x:v>UNVERIFIED region/SKU</x:v>
      </x:c>
    </x:row>
    <x:row r="12">
      <x:c r="A12" s="10" t="str">
        <x:v>sandbox</x:v>
      </x:c>
      <x:c r="B12" s="14" t="n">
        <x:v>140</x:v>
      </x:c>
      <x:c r="C12" s="10" t="str">
        <x:v>Fargate Sandbox 1,628h × planning price</x:v>
      </x:c>
      <x:c r="D12" s="10" t="str">
        <x:v>https://aws.amazon.com/fargate/pricing/</x:v>
      </x:c>
      <x:c r="E12" s="10" t="str">
        <x:v>UNVERIFIED region/SKU</x:v>
      </x:c>
    </x:row>
    <x:row r="13">
      <x:c r="A13" s="10" t="str">
        <x:v>connectors</x:v>
      </x:c>
      <x:c r="B13" s="14" t="n">
        <x:v>35</x:v>
      </x:c>
      <x:c r="C13" s="10" t="str">
        <x:v>OAuth SaaS API traffic and egress allowance</x:v>
      </x:c>
      <x:c r="D13" s="10" t="str">
        <x:v>https://aws.amazon.com/vpc/pricing/</x:v>
      </x:c>
      <x:c r="E13" s="10" t="str">
        <x:v>UNVERIFIED region/SKU</x:v>
      </x:c>
    </x:row>
    <x:row r="14">
      <x:c r="A14" s="10" t="str">
        <x:v>secrets_kms</x:v>
      </x:c>
      <x:c r="B14" s="14" t="n">
        <x:v>35</x:v>
      </x:c>
      <x:c r="C14" s="10" t="str">
        <x:v>Secrets Manager + KMS</x:v>
      </x:c>
      <x:c r="D14" s="10" t="str">
        <x:v>https://aws.amazon.com/secrets-manager/pricing/</x:v>
      </x:c>
      <x:c r="E14" s="10" t="str">
        <x:v>UNVERIFIED region/SKU</x:v>
      </x:c>
    </x:row>
    <x:row r="15">
      <x:c r="A15" s="10" t="str">
        <x:v>backup_dr</x:v>
      </x:c>
      <x:c r="B15" s="14" t="n">
        <x:v>65</x:v>
      </x:c>
      <x:c r="C15" s="10" t="str">
        <x:v>AWS Backup + database backup storage</x:v>
      </x:c>
      <x:c r="D15" s="10" t="str">
        <x:v>https://aws.amazon.com/backup/pricing/</x:v>
      </x:c>
      <x:c r="E15" s="10" t="str">
        <x:v>UNVERIFIED region/SKU</x:v>
      </x:c>
    </x:row>
    <x:row r="16">
      <x:c r="A16" s="10" t="str">
        <x:v>monitoring</x:v>
      </x:c>
      <x:c r="B16" s="14" t="n">
        <x:v>105</x:v>
      </x:c>
      <x:c r="C16" s="10" t="str">
        <x:v>CloudWatch logs/traces/alarms</x:v>
      </x:c>
      <x:c r="D16" s="10" t="str">
        <x:v>https://aws.amazon.com/cloudwatch/pricing/</x:v>
      </x:c>
      <x:c r="E16" s="10" t="str">
        <x:v>UNVERIFIED region/SKU</x:v>
      </x:c>
    </x:row>
    <x:row r="17">
      <x:c r="A17" s="10" t="str">
        <x:v>governance</x:v>
      </x:c>
      <x:c r="B17" s="14" t="n">
        <x:v>180</x:v>
      </x:c>
      <x:c r="C17" s="10" t="str">
        <x:v>Bedrock Guardrails + DLP checks + eval</x:v>
      </x:c>
      <x:c r="D17" s="10" t="str">
        <x:v>https://aws.amazon.com/bedrock/pricing/</x:v>
      </x:c>
      <x:c r="E17" s="10" t="str">
        <x:v>UNVERIFIED region/SKU</x:v>
      </x:c>
    </x:row>
    <x:row r="18">
      <x:c r="A18" s="10" t="str">
        <x:v>network</x:v>
      </x:c>
      <x:c r="B18" s="14" t="n">
        <x:v>220</x:v>
      </x:c>
      <x:c r="C18" s="10" t="str">
        <x:v>NAT + VPC endpoints + WAF + traffic</x:v>
      </x:c>
      <x:c r="D18" s="10" t="str">
        <x:v>https://aws.amazon.com/vpc/pricing/</x:v>
      </x:c>
      <x:c r="E18" s="10" t="str">
        <x:v>UNVERIFIED region/SKU</x:v>
      </x:c>
    </x:row>
    <x:row r="19">
      <x:c r="A19" s="10" t="str">
        <x:v>cicd</x:v>
      </x:c>
      <x:c r="B19" s="14" t="n">
        <x:v>60</x:v>
      </x:c>
      <x:c r="C19" s="10" t="str">
        <x:v>CodePipeline + ECR + staging extras</x:v>
      </x:c>
      <x:c r="D19" s="10" t="str">
        <x:v>https://aws.amazon.com/codepipeline/pricing/</x:v>
      </x:c>
      <x:c r="E19" s="10" t="str">
        <x:v>UNVERIFIED region/SKU</x:v>
      </x:c>
    </x:row>
    <x:row r="20">
      <x:c r="A20" s="10" t="str">
        <x:v>ops_labor</x:v>
      </x:c>
      <x:c r="B20" s="14" t="n">
        <x:v>1500</x:v>
      </x:c>
      <x:c r="C20" s="10" t="str">
        <x:v>0.5 FTE × USD 3,000</x:v>
      </x:c>
      <x:c r="D20" s="10" t="str">
        <x:v>NA</x:v>
      </x:c>
      <x:c r="E20" s="10" t="str">
        <x:v>Verified formula / bundled / labor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72" hidden="0" customWidth="1"/>
    <x:col min="4" max="4" width="28" hidden="0" customWidth="1"/>
  </x:cols>
  <x:sheetData>
    <x:row r="1" ht="28" customHeight="1">
      <x:c r="A1" s="3" t="str">
        <x:v>evidence_id</x:v>
      </x:c>
      <x:c r="B1" s="3" t="str">
        <x:v>Source / claim</x:v>
      </x:c>
      <x:c r="C1" s="3" t="str">
        <x:v>URL</x:v>
      </x:c>
      <x:c r="D1" s="3" t="str">
        <x:v>Verified status</x:v>
      </x:c>
    </x:row>
    <x:row r="2">
      <x:c r="A2" t="str">
        <x:v>E01</x:v>
      </x:c>
      <x:c r="B2" t="str">
        <x:v>Capstone assignment (user supplied)</x:v>
      </x:c>
      <x:c r="C2" t="str"/>
      <x:c r="D2" t="str">
        <x:v>SOURCE</x:v>
      </x:c>
    </x:row>
    <x:row r="3">
      <x:c r="A3" t="str">
        <x:v>E02</x:v>
      </x:c>
      <x:c r="B3" t="str">
        <x:v>AWS Fargate official pricing</x:v>
      </x:c>
      <x:c r="C3" t="str">
        <x:v>https://aws.amazon.com/fargate/pricing/</x:v>
      </x:c>
      <x:c r="D3" t="str">
        <x:v>PRICE PAGE</x:v>
      </x:c>
    </x:row>
    <x:row r="4">
      <x:c r="A4" t="str">
        <x:v>E03</x:v>
      </x:c>
      <x:c r="B4" t="str">
        <x:v>AWS Bedrock pricing</x:v>
      </x:c>
      <x:c r="C4" t="str">
        <x:v>https://aws.amazon.com/bedrock/pricing/</x:v>
      </x:c>
      <x:c r="D4" t="str">
        <x:v>PRICE PAGE</x:v>
      </x:c>
    </x:row>
    <x:row r="5">
      <x:c r="A5" t="str">
        <x:v>E04</x:v>
      </x:c>
      <x:c r="B5" t="str">
        <x:v>AWS Cognito enterprise SSO</x:v>
      </x:c>
      <x:c r="C5" t="str">
        <x:v>https://aws.amazon.com/cognito/pricing/</x:v>
      </x:c>
      <x:c r="D5" t="str">
        <x:v>RATE VERIFIED</x:v>
      </x:c>
    </x:row>
    <x:row r="6">
      <x:c r="A6" t="str">
        <x:v>E05</x:v>
      </x:c>
      <x:c r="B6" t="str">
        <x:v>AWS RDS Multi-AZ pricing</x:v>
      </x:c>
      <x:c r="C6" t="str">
        <x:v>https://aws.amazon.com/rds/postgresql/pricing/</x:v>
      </x:c>
      <x:c r="D6" t="str">
        <x:v>PRICE PAGE</x:v>
      </x:c>
    </x:row>
    <x:row r="7">
      <x:c r="A7" t="str">
        <x:v>E06</x:v>
      </x:c>
      <x:c r="B7" t="str">
        <x:v>AWS S3 pricing</x:v>
      </x:c>
      <x:c r="C7" t="str">
        <x:v>https://aws.amazon.com/s3/pricing/</x:v>
      </x:c>
      <x:c r="D7" t="str">
        <x:v>PRICE PAGE</x:v>
      </x:c>
    </x:row>
    <x:row r="8">
      <x:c r="A8" t="str">
        <x:v>E07</x:v>
      </x:c>
      <x:c r="B8" t="str">
        <x:v>AWS sandbox isolation</x:v>
      </x:c>
      <x:c r="C8" t="str">
        <x:v>https://docs.aws.amazon.com/AmazonECS/latest/developerguide/security-fargate-ec2.html</x:v>
      </x:c>
      <x:c r="D8" t="str">
        <x:v>ARCHITECTURE</x:v>
      </x:c>
    </x:row>
    <x:row r="9">
      <x:c r="A9" t="str">
        <x:v>E08</x:v>
      </x:c>
      <x:c r="B9" t="str">
        <x:v>AWS global model inference Singapore</x:v>
      </x:c>
      <x:c r="C9" t="str">
        <x:v>https://aws.amazon.com/blogs/machine-learning/global-cross-region-inference-for-latest-anthropic-claude-opus-sonnet-and-haiku-models-on-amazon-bedrock-in-thailand-malaysia-singapore-indonesia-and-taiwan/</x:v>
      </x:c>
      <x:c r="D9" t="str">
        <x:v>ARCHITECTURE</x:v>
      </x:c>
    </x:row>
  </x:sheetData>
  <x:pageMargins left="0.7" right="0.7" top="0.75" bottom="0.75" header="0.3" footer="0.3"/>
</x:worksheet>
</file>